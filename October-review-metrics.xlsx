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ctober-5-Review" sheetId="1" state="visible" r:id="rId3"/>
    <sheet name="Monthly-tracking" sheetId="2" state="visible" r:id="rId4"/>
    <sheet name="Support-mode-pla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C4" authorId="0">
      <text>
        <r>
          <rPr>
            <sz val="10"/>
            <rFont val="Arial"/>
            <family val="2"/>
          </rPr>
          <t xml:space="preserve">Fill thresholds on the next co-founder call. Keep them absolute numbers, not ranges. Use the ones everyone agrees to live by.</t>
        </r>
      </text>
    </comment>
  </commentList>
</comments>
</file>

<file path=xl/sharedStrings.xml><?xml version="1.0" encoding="utf-8"?>
<sst xmlns="http://schemas.openxmlformats.org/spreadsheetml/2006/main" count="62" uniqueCount="59">
  <si>
    <t xml:space="preserve">October 5, 2026 — Go / No-Go Decision Dashboard</t>
  </si>
  <si>
    <t xml:space="preserve">Rule: the project continues in product-development mode if at least 2 of 3 metrics are PASS on October 5, 2026. Otherwise, activate support-mode plan.</t>
  </si>
  <si>
    <t xml:space="preserve">#</t>
  </si>
  <si>
    <t xml:space="preserve">Metric</t>
  </si>
  <si>
    <t xml:space="preserve">Threshold (fill in)</t>
  </si>
  <si>
    <t xml:space="preserve">Actual on Oct 5</t>
  </si>
  <si>
    <t xml:space="preserve">Status</t>
  </si>
  <si>
    <t xml:space="preserve">How to measure / notes</t>
  </si>
  <si>
    <t xml:space="preserve">Monthly Recurring Revenue or monthly gross revenue</t>
  </si>
  <si>
    <t xml:space="preserve">e.g. X USD</t>
  </si>
  <si>
    <t xml:space="preserve">MRR or gross revenue for September 2026, average of last 3 months preferred. Owner: revenue zone.</t>
  </si>
  <si>
    <t xml:space="preserve">Retention (D30 or M1)</t>
  </si>
  <si>
    <t xml:space="preserve">e.g. Y %</t>
  </si>
  <si>
    <t xml:space="preserve">Cohort retention at day 30 (or month 1, pick one and keep it). Owner: product zone.</t>
  </si>
  <si>
    <t xml:space="preserve">Paid acquisition unit economics (LTV / CAC or payback)</t>
  </si>
  <si>
    <t xml:space="preserve">e.g. LTV/CAC ≥ Z, or payback ≤ N months</t>
  </si>
  <si>
    <t xml:space="preserve">Measured on paid channels only. Owner: growth zone.</t>
  </si>
  <si>
    <t xml:space="preserve">Passes (count):</t>
  </si>
  <si>
    <t xml:space="preserve">Fails (count):</t>
  </si>
  <si>
    <t xml:space="preserve">Decision:</t>
  </si>
  <si>
    <t xml:space="preserve">Legend</t>
  </si>
  <si>
    <t xml:space="preserve">Blue text = input cell (fill in)</t>
  </si>
  <si>
    <t xml:space="preserve">Yellow fill = key assumption — needs a real number before the October review</t>
  </si>
  <si>
    <t xml:space="preserve">Black text = formula</t>
  </si>
  <si>
    <t xml:space="preserve">Monthly metrics tracking — April to October 2026</t>
  </si>
  <si>
    <t xml:space="preserve">Fill in actuals each month. The last row is what gets copied to the October-5-Review sheet.</t>
  </si>
  <si>
    <t xml:space="preserve">Month</t>
  </si>
  <si>
    <t xml:space="preserve">MRR / Revenue ($)</t>
  </si>
  <si>
    <t xml:space="preserve">Revenue MoM growth</t>
  </si>
  <si>
    <t xml:space="preserve">D30 Retention (%)</t>
  </si>
  <si>
    <t xml:space="preserve">Paying users</t>
  </si>
  <si>
    <t xml:space="preserve">Paid spend ($)</t>
  </si>
  <si>
    <t xml:space="preserve">Paid signups</t>
  </si>
  <si>
    <t xml:space="preserve">CAC ($)</t>
  </si>
  <si>
    <t xml:space="preserve">Notes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</si>
  <si>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</si>
  <si>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</si>
  <si>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</si>
  <si>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</si>
  <si>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</si>
  <si>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</si>
  <si>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 (as of Oct 5)</t>
  </si>
  <si>
    <t xml:space="preserve">Note: highlighted fill = key input. Keep methodology consistent across months (same retention cohort definition, same CAC scope).</t>
  </si>
  <si>
    <t xml:space="preserve">Support-mode activation plan (contingency)</t>
  </si>
  <si>
    <t xml:space="preserve">If at least 2 of 3 metrics FAIL on October 5, this plan activates. It describes how to wind down development and shift to a minimal-support revenue-extraction mode. Fill in specifics while heads are cool, not under stress.</t>
  </si>
  <si>
    <t xml:space="preserve">Action</t>
  </si>
  <si>
    <t xml:space="preserve">Owner / deadline</t>
  </si>
  <si>
    <t xml:space="preserve">Freeze new product development (announce internally)</t>
  </si>
  <si>
    <t xml:space="preserve">[Owner __], within 7 days</t>
  </si>
  <si>
    <t xml:space="preserve">Document current product state and critical runbooks</t>
  </si>
  <si>
    <t xml:space="preserve">[Owner __], within 14 days</t>
  </si>
  <si>
    <t xml:space="preserve">Reduce infrastructure cost to support-only baseline (target: $____ / month)</t>
  </si>
  <si>
    <t xml:space="preserve">[Owner __], within 21 days</t>
  </si>
  <si>
    <t xml:space="preserve">Pause monthly base dividends, switch to cash-positive distribution only</t>
  </si>
  <si>
    <t xml:space="preserve">[All], from next month</t>
  </si>
  <si>
    <t xml:space="preserve">Define minimum support SLA (bug fixes only, response within 48h on business days)</t>
  </si>
  <si>
    <t xml:space="preserve">Marketing: halt paid acquisition, keep SEO / organic only</t>
  </si>
  <si>
    <t xml:space="preserve">Quarterly cash review: decide keep-running vs. sell vs. sunset</t>
  </si>
  <si>
    <t xml:space="preserve">[All], every 90 days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</si>
</sst>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;\(0.0%\);\-"/>
    <numFmt numFmtId="167" formatCode="#,##0;\(#,##0\);\-"/>
    <numFmt numFmtId="168" formatCode="\$#,##0.00;&quot;($&quot;#,##0.0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0000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2"/>
    </font>
    <font>
      <b val="true"/>
      <sz val="14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B9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D9E2F3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4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33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51.75" hidden="false" customHeight="true" outlineLevel="0" collapsed="false">
      <c r="A5" s="4" t="n">
        <v>1</v>
      </c>
      <c r="B5" s="5" t="s">
        <v>8</v>
      </c>
      <c r="C5" s="6" t="s">
        <v>9</v>
      </c>
      <c r="D5" s="7"/>
      <c r="E5" s="8"/>
      <c r="F5" s="9" t="s">
        <v>10</v>
      </c>
    </row>
    <row r="6" customFormat="false" ht="51.75" hidden="false" customHeight="true" outlineLevel="0" collapsed="false">
      <c r="A6" s="4" t="n">
        <v>2</v>
      </c>
      <c r="B6" s="5" t="s">
        <v>11</v>
      </c>
      <c r="C6" s="6" t="s">
        <v>12</v>
      </c>
      <c r="D6" s="7"/>
      <c r="E6" s="8"/>
      <c r="F6" s="9" t="s">
        <v>13</v>
      </c>
    </row>
    <row r="7" customFormat="false" ht="51.75" hidden="false" customHeight="true" outlineLevel="0" collapsed="false">
      <c r="A7" s="4" t="n">
        <v>3</v>
      </c>
      <c r="B7" s="5" t="s">
        <v>14</v>
      </c>
      <c r="C7" s="6" t="s">
        <v>15</v>
      </c>
      <c r="D7" s="7"/>
      <c r="E7" s="8"/>
      <c r="F7" s="9" t="s">
        <v>16</v>
      </c>
    </row>
    <row r="9" customFormat="false" ht="15" hidden="false" customHeight="false" outlineLevel="0" collapsed="false">
      <c r="B9" s="10" t="s">
        <v>17</v>
      </c>
      <c r="C9" s="11" t="n">
        <f aca="false">COUNTIF(E5:E7,"PASS")</f>
        <v>0</v>
      </c>
    </row>
    <row r="10" customFormat="false" ht="15" hidden="false" customHeight="false" outlineLevel="0" collapsed="false">
      <c r="B10" s="10" t="s">
        <v>18</v>
      </c>
      <c r="C10" s="11" t="n">
        <f aca="false">COUNTIF(E5:E7,"FAIL")</f>
        <v>0</v>
      </c>
    </row>
    <row r="11" customFormat="false" ht="15" hidden="false" customHeight="false" outlineLevel="0" collapsed="false">
      <c r="B11" s="12" t="s">
        <v>19</v>
      </c>
      <c r="C11" s="13" t="str">
        <f aca="false">IF(C9&gt;=2,"CONTINUE — product development mode",IF(C9+COUNTIF(E5:E7,"")&gt;=2,"REVIEW REQUIRED — fill in all statuses","ACTIVATE SUPPORT MODE PLAN"))</f>
        <v>REVIEW REQUIRED — fill in all statuses</v>
      </c>
      <c r="D11" s="13"/>
      <c r="E11" s="13"/>
      <c r="F11" s="13"/>
    </row>
    <row r="13" customFormat="false" ht="15" hidden="false" customHeight="false" outlineLevel="0" collapsed="false">
      <c r="A13" s="14" t="s">
        <v>20</v>
      </c>
    </row>
    <row r="14" customFormat="false" ht="15" hidden="false" customHeight="false" outlineLevel="0" collapsed="false">
      <c r="A14" s="15" t="s">
        <v>21</v>
      </c>
    </row>
    <row r="15" customFormat="false" ht="15" hidden="false" customHeight="false" outlineLevel="0" collapsed="false">
      <c r="A15" s="16" t="s">
        <v>22</v>
      </c>
    </row>
    <row r="16" customFormat="false" ht="15" hidden="false" customHeight="false" outlineLevel="0" collapsed="false">
      <c r="A16" s="17" t="s">
        <v>23</v>
      </c>
    </row>
  </sheetData>
  <mergeCells count="3">
    <mergeCell ref="A1:F1"/>
    <mergeCell ref="A2:F2"/>
    <mergeCell ref="C11:F11"/>
  </mergeCells>
  <conditionalFormatting sqref="E5:E7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"ON TRACK"</formula>
    </cfRule>
  </conditionalFormatting>
  <dataValidations count="1">
    <dataValidation allowBlank="true" errorStyle="stop" operator="between" showDropDown="false" showErrorMessage="false" showInputMessage="false" sqref="E5:E7" type="list">
      <formula1>"PASS,FAIL,ON TRACK"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7" min="5" style="0" width="14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8" t="s">
        <v>24</v>
      </c>
      <c r="B1" s="18"/>
      <c r="C1" s="18"/>
      <c r="D1" s="18"/>
      <c r="E1" s="18"/>
      <c r="F1" s="18"/>
      <c r="G1" s="18"/>
      <c r="H1" s="18"/>
      <c r="I1" s="18"/>
    </row>
    <row r="2" customFormat="false" ht="15" hidden="false" customHeight="false" outlineLevel="0" collapsed="false">
      <c r="A2" s="19" t="s">
        <v>25</v>
      </c>
      <c r="B2" s="19"/>
      <c r="C2" s="19"/>
      <c r="D2" s="19"/>
      <c r="E2" s="19"/>
      <c r="F2" s="19"/>
      <c r="G2" s="19"/>
      <c r="H2" s="19"/>
      <c r="I2" s="19"/>
    </row>
    <row r="4" customFormat="false" ht="36" hidden="false" customHeight="true" outlineLevel="0" collapsed="false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</row>
    <row r="5" customFormat="false" ht="21.75" hidden="false" customHeight="true" outlineLevel="0" collapsed="false">
      <c r="A5" s="20" t="s">
        <v>35</v>
      </c>
      <c r="B5" s="21"/>
      <c r="C5" s="22"/>
      <c r="D5" s="23"/>
      <c r="E5" s="24"/>
      <c r="F5" s="21"/>
      <c r="G5" s="24"/>
      <c r="H5" s="25" t="n">
        <f aca="false">IFERROR(F5/G5,0)</f>
        <v>0</v>
      </c>
      <c r="I5" s="26"/>
    </row>
    <row r="6" customFormat="false" ht="21.75" hidden="false" customHeight="true" outlineLevel="0" collapsed="false">
      <c r="A6" s="20" t="s">
        <v>36</v>
      </c>
      <c r="B6" s="21"/>
      <c r="C6" s="22" t="n">
        <f aca="false">IFERROR((B6-B5)/B5,0)</f>
        <v>0</v>
      </c>
      <c r="D6" s="23"/>
      <c r="E6" s="24"/>
      <c r="F6" s="21"/>
      <c r="G6" s="24"/>
      <c r="H6" s="25" t="n">
        <f aca="false">IFERROR(F6/G6,0)</f>
        <v>0</v>
      </c>
      <c r="I6" s="26"/>
    </row>
    <row r="7" customFormat="false" ht="21.75" hidden="false" customHeight="true" outlineLevel="0" collapsed="false">
      <c r="A7" s="20" t="s">
        <v>37</v>
      </c>
      <c r="B7" s="21"/>
      <c r="C7" s="22" t="n">
        <f aca="false">IFERROR((B7-B6)/B6,0)</f>
        <v>0</v>
      </c>
      <c r="D7" s="23"/>
      <c r="E7" s="24"/>
      <c r="F7" s="21"/>
      <c r="G7" s="24"/>
      <c r="H7" s="25" t="n">
        <f aca="false">IFERROR(F7/G7,0)</f>
        <v>0</v>
      </c>
      <c r="I7" s="26"/>
    </row>
    <row r="8" customFormat="false" ht="21.75" hidden="false" customHeight="true" outlineLevel="0" collapsed="false">
      <c r="A8" s="20" t="s">
        <v>38</v>
      </c>
      <c r="B8" s="21"/>
      <c r="C8" s="22" t="n">
        <f aca="false">IFERROR((B8-B7)/B7,0)</f>
        <v>0</v>
      </c>
      <c r="D8" s="23"/>
      <c r="E8" s="24"/>
      <c r="F8" s="21"/>
      <c r="G8" s="24"/>
      <c r="H8" s="25" t="n">
        <f aca="false">IFERROR(F8/G8,0)</f>
        <v>0</v>
      </c>
      <c r="I8" s="26"/>
    </row>
    <row r="9" customFormat="false" ht="21.75" hidden="false" customHeight="true" outlineLevel="0" collapsed="false">
      <c r="A9" s="20" t="s">
        <v>39</v>
      </c>
      <c r="B9" s="21"/>
      <c r="C9" s="22" t="n">
        <f aca="false">IFERROR((B9-B8)/B8,0)</f>
        <v>0</v>
      </c>
      <c r="D9" s="23"/>
      <c r="E9" s="24"/>
      <c r="F9" s="21"/>
      <c r="G9" s="24"/>
      <c r="H9" s="25" t="n">
        <f aca="false">IFERROR(F9/G9,0)</f>
        <v>0</v>
      </c>
      <c r="I9" s="26"/>
    </row>
    <row r="10" customFormat="false" ht="21.75" hidden="false" customHeight="true" outlineLevel="0" collapsed="false">
      <c r="A10" s="20" t="s">
        <v>40</v>
      </c>
      <c r="B10" s="21"/>
      <c r="C10" s="22" t="n">
        <f aca="false">IFERROR((B10-B9)/B9,0)</f>
        <v>0</v>
      </c>
      <c r="D10" s="23"/>
      <c r="E10" s="24"/>
      <c r="F10" s="21"/>
      <c r="G10" s="24"/>
      <c r="H10" s="25" t="n">
        <f aca="false">IFERROR(F10/G10,0)</f>
        <v>0</v>
      </c>
      <c r="I10" s="26"/>
    </row>
    <row r="11" customFormat="false" ht="21.75" hidden="false" customHeight="true" outlineLevel="0" collapsed="false">
      <c r="A11" s="20" t="s">
        <v>41</v>
      </c>
      <c r="B11" s="21"/>
      <c r="C11" s="22" t="n">
        <f aca="false">IFERROR((B11-B10)/B10,0)</f>
        <v>0</v>
      </c>
      <c r="D11" s="23"/>
      <c r="E11" s="24"/>
      <c r="F11" s="21"/>
      <c r="G11" s="24"/>
      <c r="H11" s="25" t="n">
        <f aca="false">IFERROR(F11/G11,0)</f>
        <v>0</v>
      </c>
      <c r="I11" s="26"/>
    </row>
    <row r="13" customFormat="false" ht="15" hidden="false" customHeight="false" outlineLevel="0" collapsed="false">
      <c r="A13" s="19" t="s">
        <v>42</v>
      </c>
      <c r="B13" s="19"/>
      <c r="C13" s="19"/>
      <c r="D13" s="19"/>
      <c r="E13" s="19"/>
      <c r="F13" s="19"/>
      <c r="G13" s="19"/>
      <c r="H13" s="19"/>
      <c r="I13" s="19"/>
    </row>
  </sheetData>
  <mergeCells count="3">
    <mergeCell ref="A1:I1"/>
    <mergeCell ref="A2:I2"/>
    <mergeCell ref="A13:I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0"/>
    <col collapsed="false" customWidth="true" hidden="false" outlineLevel="0" max="3" min="3" style="0" width="30"/>
  </cols>
  <sheetData>
    <row r="1" customFormat="false" ht="17.35" hidden="false" customHeight="false" outlineLevel="0" collapsed="false">
      <c r="A1" s="18" t="s">
        <v>43</v>
      </c>
      <c r="B1" s="18"/>
      <c r="C1" s="18"/>
    </row>
    <row r="2" customFormat="false" ht="45.75" hidden="false" customHeight="true" outlineLevel="0" collapsed="false">
      <c r="A2" s="2" t="s">
        <v>44</v>
      </c>
      <c r="B2" s="2"/>
      <c r="C2" s="2"/>
    </row>
    <row r="4" customFormat="false" ht="25.5" hidden="false" customHeight="true" outlineLevel="0" collapsed="false">
      <c r="A4" s="3" t="s">
        <v>2</v>
      </c>
      <c r="B4" s="3" t="s">
        <v>45</v>
      </c>
      <c r="C4" s="3" t="s">
        <v>46</v>
      </c>
    </row>
    <row r="5" customFormat="false" ht="31.5" hidden="false" customHeight="true" outlineLevel="0" collapsed="false">
      <c r="A5" s="27" t="n">
        <v>1</v>
      </c>
      <c r="B5" s="5" t="s">
        <v>47</v>
      </c>
      <c r="C5" s="28" t="s">
        <v>48</v>
      </c>
    </row>
    <row r="6" customFormat="false" ht="31.5" hidden="false" customHeight="true" outlineLevel="0" collapsed="false">
      <c r="A6" s="27" t="n">
        <v>2</v>
      </c>
      <c r="B6" s="5" t="s">
        <v>49</v>
      </c>
      <c r="C6" s="28" t="s">
        <v>50</v>
      </c>
    </row>
    <row r="7" customFormat="false" ht="31.5" hidden="false" customHeight="true" outlineLevel="0" collapsed="false">
      <c r="A7" s="27" t="n">
        <v>3</v>
      </c>
      <c r="B7" s="5" t="s">
        <v>51</v>
      </c>
      <c r="C7" s="28" t="s">
        <v>52</v>
      </c>
    </row>
    <row r="8" customFormat="false" ht="31.5" hidden="false" customHeight="true" outlineLevel="0" collapsed="false">
      <c r="A8" s="27" t="n">
        <v>4</v>
      </c>
      <c r="B8" s="5" t="s">
        <v>53</v>
      </c>
      <c r="C8" s="28" t="s">
        <v>54</v>
      </c>
    </row>
    <row r="9" customFormat="false" ht="31.5" hidden="false" customHeight="true" outlineLevel="0" collapsed="false">
      <c r="A9" s="27" t="n">
        <v>5</v>
      </c>
      <c r="B9" s="5" t="s">
        <v>55</v>
      </c>
      <c r="C9" s="28" t="s">
        <v>50</v>
      </c>
    </row>
    <row r="10" customFormat="false" ht="31.5" hidden="false" customHeight="true" outlineLevel="0" collapsed="false">
      <c r="A10" s="27" t="n">
        <v>6</v>
      </c>
      <c r="B10" s="5" t="s">
        <v>56</v>
      </c>
      <c r="C10" s="28" t="s">
        <v>48</v>
      </c>
    </row>
    <row r="11" customFormat="false" ht="31.5" hidden="false" customHeight="true" outlineLevel="0" collapsed="false">
      <c r="A11" s="27" t="n">
        <v>7</v>
      </c>
      <c r="B11" s="5" t="s">
        <v>57</v>
      </c>
      <c r="C11" s="28" t="s">
        <v>58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2026-04-20T18:20:00Z</dcterms:created>
  <dc:creator>openpyxl</dc:creator>
  <dc:description/>
  <dc:language>en-US</dc:language>
  <cp:lastModifiedBy/>
  <dcterms:modified xsi:type="dcterms:W3CDTF">2026-04-20T18:20:00Z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